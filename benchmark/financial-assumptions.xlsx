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fd0b56284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Inputs" sheetId="1" r:id="R4b553eae91a649c5"/>
    <x:sheet xmlns:r="http://schemas.openxmlformats.org/officeDocument/2006/relationships" name="Unit Economics" sheetId="2" r:id="Rfdcd9e5d343c41e9"/>
    <x:sheet xmlns:r="http://schemas.openxmlformats.org/officeDocument/2006/relationships" name="Industry Criteria" sheetId="3" r:id="Ra06df7d429364c0c"/>
  </x:sheets>
</x:workbook>
</file>

<file path=xl/comments1.xml><?xml version="1.0" encoding="utf-8"?>
<x:comments xmlns:x="http://schemas.openxmlformats.org/spreadsheetml/2006/main">
  <x:authors>
    <x:author>tc={1F965F87-5870-C8EC-98EA-825F4564B19C}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Standardized benchmark assumption. Products may challenge the assumption but must keep the input unchanged and label any alternative scenario.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0.0%"/>
    <x:numFmt numFmtId="202" formatCode="#,##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554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</x:fills>
  <x:borders count="5">
    <x:border/>
    <x:border>
      <x:bottom style="double">
        <x:color rgb="FF93C5F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2" fontId="0" fillId="0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199b47f4d49e2" /><Relationship Type="http://schemas.openxmlformats.org/officeDocument/2006/relationships/theme" Target="/xl/theme/theme1.xml" Id="Rf5771bfdbeb9446b" /><Relationship Type="http://schemas.openxmlformats.org/officeDocument/2006/relationships/sharedStrings" Target="/xl/sharedStrings.xml" Id="R96a0cfe7227a4273" /><Relationship Type="http://schemas.openxmlformats.org/officeDocument/2006/relationships/worksheet" Target="/xl/worksheets/sheet1.xml" Id="R4b553eae91a649c5" /><Relationship Type="http://schemas.openxmlformats.org/officeDocument/2006/relationships/worksheet" Target="/xl/worksheets/sheet2.xml" Id="Rfdcd9e5d343c41e9" /><Relationship Type="http://schemas.openxmlformats.org/officeDocument/2006/relationships/worksheet" Target="/xl/worksheets/sheet3.xml" Id="Ra06df7d429364c0c" /><Relationship Type="http://schemas.microsoft.com/office/2017/10/relationships/person" Target="/xl/persons/person.xml" Id="Reed016f53b7c4c5b" /></Relationships>
</file>

<file path=xl/persons/person.xml><?xml version="1.0" encoding="utf-8"?>
<xltc:personList xmlns:xltc="http://schemas.microsoft.com/office/spreadsheetml/2018/threadedcomments">
  <xltc:person displayName="User" id="{65BAF48C-DA55-4064-902C-B31C64CF0E2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25T14:21:29.296" personId="{65BAF48C-DA55-4064-902C-B31C64CF0E29}" id="{1F965F87-5870-C8EC-98EA-825F4564B19C}">
    <xltc:text>Standardized benchmark assumption. Products may challenge the assumption but must keep the input unchanged and label any alternative scenario.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b794377a33e4b4e" /><Relationship Type="http://schemas.openxmlformats.org/officeDocument/2006/relationships/vmlDrawing" Target="/xl/drawings/vmldrawing.vml" Id="Rea541091862f44d9" /><Relationship Type="http://schemas.microsoft.com/office/2017/10/relationships/threadedComment" Target="/xl/threadedcomments/threadedcomment.xml" Id="R4f16b46a00cc4f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2" hidden="0" customWidth="1"/>
  </x:cols>
  <x:sheetData>
    <x:row r="1" ht="34" hidden="0" customHeight="1">
      <x:c r="A1" s="17" t="str">
        <x:v>FieldPilot AI — Standard Benchmark Assumptions</x:v>
      </x:c>
      <x:c r="B1" s="17"/>
      <x:c r="C1" s="17"/>
      <x:c r="D1" s="17"/>
    </x:row>
    <x:row r="2" ht="15" hidden="0" customHeight="1">
      <x:c r="A2" s="18"/>
      <x:c r="B2" s="18"/>
      <x:c r="C2" s="18"/>
      <x:c r="D2" s="18"/>
    </x:row>
    <x:row r="3" ht="26.399999618530273" hidden="0" customHeight="1">
      <x:c r="A3" s="19" t="str">
        <x:v>Assumption</x:v>
      </x:c>
      <x:c r="B3" s="19" t="str">
        <x:v>Value</x:v>
      </x:c>
      <x:c r="C3" s="19" t="str">
        <x:v>Unit</x:v>
      </x:c>
      <x:c r="D3" s="19" t="str">
        <x:v>Notes</x:v>
      </x:c>
    </x:row>
    <x:row r="4" ht="52.79999923706055" hidden="0" customHeight="1">
      <x:c r="A4" s="20" t="str">
        <x:v>FDE headcount</x:v>
      </x:c>
      <x:c r="B4" s="20" t="n">
        <x:v>8</x:v>
      </x:c>
      <x:c r="C4" s="20" t="str">
        <x:v>people</x:v>
      </x:c>
      <x:c r="D4" s="20" t="str">
        <x:v>Available for customer delivery</x:v>
      </x:c>
    </x:row>
    <x:row r="5" ht="66" hidden="0" customHeight="1">
      <x:c r="A5" s="21" t="str">
        <x:v>Platform engineer headcount</x:v>
      </x:c>
      <x:c r="B5" s="21" t="n">
        <x:v>4</x:v>
      </x:c>
      <x:c r="C5" s="21" t="str">
        <x:v>people</x:v>
      </x:c>
      <x:c r="D5" s="21" t="str">
        <x:v>Shared platform and integration support</x:v>
      </x:c>
    </x:row>
    <x:row r="6" ht="52.79999923706055" hidden="0" customHeight="1">
      <x:c r="A6" s="21" t="str">
        <x:v>Enterprise sales headcount</x:v>
      </x:c>
      <x:c r="B6" s="21" t="n">
        <x:v>3</x:v>
      </x:c>
      <x:c r="C6" s="21" t="str">
        <x:v>people</x:v>
      </x:c>
      <x:c r="D6" s="21" t="str">
        <x:v>New-logo enterprise sales</x:v>
      </x:c>
    </x:row>
    <x:row r="7" ht="52.79999923706055" hidden="0" customHeight="1">
      <x:c r="A7" s="21" t="str">
        <x:v>12-month commercialization budget</x:v>
      </x:c>
      <x:c r="B7" s="22" t="n">
        <x:v>8000000</x:v>
      </x:c>
      <x:c r="C7" s="21" t="str">
        <x:v>RMB</x:v>
      </x:c>
      <x:c r="D7" s="21" t="str">
        <x:v>Total commercial budget ceiling</x:v>
      </x:c>
    </x:row>
    <x:row r="8" ht="39.599998474121094" hidden="0" customHeight="1">
      <x:c r="A8" s="21" t="str">
        <x:v>90-day paid pilot target</x:v>
      </x:c>
      <x:c r="B8" s="22" t="n">
        <x:v>3</x:v>
      </x:c>
      <x:c r="C8" s="21" t="str">
        <x:v>pilots</x:v>
      </x:c>
      <x:c r="D8" s="21" t="str">
        <x:v>Signed paid pilots</x:v>
      </x:c>
    </x:row>
    <x:row r="9" ht="52.79999923706055" hidden="0" customHeight="1">
      <x:c r="A9" s="21" t="str">
        <x:v>90-day qualified pipeline target</x:v>
      </x:c>
      <x:c r="B9" s="22" t="n">
        <x:v>5000000</x:v>
      </x:c>
      <x:c r="C9" s="21" t="str">
        <x:v>RMB</x:v>
      </x:c>
      <x:c r="D9" s="21" t="str">
        <x:v>Evidence-backed qualified pipeline</x:v>
      </x:c>
    </x:row>
    <x:row r="10" ht="52.79999923706055" hidden="0" customHeight="1">
      <x:c r="A10" s="21" t="str">
        <x:v>Minimum 12-month gross margin</x:v>
      </x:c>
      <x:c r="B10" s="23" t="n">
        <x:v>0.55</x:v>
      </x:c>
      <x:c r="C10" s="21" t="str">
        <x:v>%</x:v>
      </x:c>
      <x:c r="D10" s="21" t="str">
        <x:v>Combined software and FDE delivery</x:v>
      </x:c>
    </x:row>
    <x:row r="11" ht="39.599998474121094" hidden="0" customHeight="1">
      <x:c r="A11" s="21" t="str">
        <x:v>Maximum FDEs per pilot</x:v>
      </x:c>
      <x:c r="B11" s="21" t="n">
        <x:v>2</x:v>
      </x:c>
      <x:c r="C11" s="21" t="str">
        <x:v>people</x:v>
      </x:c>
      <x:c r="D11" s="21" t="str">
        <x:v>Concurrent delivery ceiling</x:v>
      </x:c>
    </x:row>
    <x:row r="12" ht="52.79999923706055" hidden="0" customHeight="1">
      <x:c r="A12" s="21" t="str">
        <x:v>Maximum target pilot duration</x:v>
      </x:c>
      <x:c r="B12" s="21" t="n">
        <x:v>45</x:v>
      </x:c>
      <x:c r="C12" s="21" t="str">
        <x:v>days</x:v>
      </x:c>
      <x:c r="D12" s="21" t="str">
        <x:v>Contract-to-acceptance target</x:v>
      </x:c>
    </x:row>
    <x:row r="13" ht="39.599998474121094" hidden="0" customHeight="1">
      <x:c r="A13" s="21" t="str">
        <x:v>Working days per person</x:v>
      </x:c>
      <x:c r="B13" s="21" t="n">
        <x:v>220</x:v>
      </x:c>
      <x:c r="C13" s="21" t="str">
        <x:v>days/year</x:v>
      </x:c>
      <x:c r="D13" s="21" t="str">
        <x:v>Planning assumption</x:v>
      </x:c>
    </x:row>
    <x:row r="14" ht="66" hidden="0" customHeight="1">
      <x:c r="A14" s="24" t="str">
        <x:v>Target billable utilization</x:v>
      </x:c>
      <x:c r="B14" s="25" t="n">
        <x:v>0.7</x:v>
      </x:c>
      <x:c r="C14" s="24" t="str">
        <x:v>%</x:v>
      </x:c>
      <x:c r="D14" s="24" t="str">
        <x:v>After internal work and enablement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42" hidden="0" customWidth="1"/>
  </x:cols>
  <x:sheetData>
    <x:row r="1" ht="34" hidden="0" customHeight="1">
      <x:c r="A1" s="17" t="str">
        <x:v>Cost and Capacity Reference Model</x:v>
      </x:c>
      <x:c r="B1" s="17"/>
      <x:c r="C1" s="17"/>
      <x:c r="D1" s="17"/>
      <x:c r="E1" s="17"/>
      <x:c r="F1" s="17"/>
    </x:row>
    <x:row r="2" ht="15" hidden="0" customHeight="1">
      <x:c r="A2" s="18"/>
      <x:c r="B2" s="18"/>
      <x:c r="C2" s="18"/>
      <x:c r="D2" s="18"/>
      <x:c r="E2" s="18"/>
      <x:c r="F2" s="18"/>
    </x:row>
    <x:row r="3" ht="26.399999618530273" hidden="0" customHeight="1">
      <x:c r="A3" s="32" t="str">
        <x:v>Cost input</x:v>
      </x:c>
      <x:c r="B3" s="32" t="str">
        <x:v>Annual cost / unit</x:v>
      </x:c>
      <x:c r="C3" s="32" t="str">
        <x:v>Headcount</x:v>
      </x:c>
      <x:c r="D3" s="32" t="str">
        <x:v>Annual total</x:v>
      </x:c>
      <x:c r="E3" s="32" t="str">
        <x:v>Unit</x:v>
      </x:c>
      <x:c r="F3" s="32" t="str">
        <x:v>Notes</x:v>
      </x:c>
    </x:row>
    <x:row r="4" ht="52.79999923706055" hidden="0" customHeight="1">
      <x:c r="A4" s="33" t="str">
        <x:v>FDE</x:v>
      </x:c>
      <x:c r="B4" s="34" t="n">
        <x:v>720000</x:v>
      </x:c>
      <x:c r="C4" s="33" t="n">
        <x:f>'Company Inputs'!B4</x:f>
        <x:v>8</x:v>
      </x:c>
      <x:c r="D4" s="34" t="n">
        <x:f>B4*C4</x:f>
        <x:v>5760000</x:v>
      </x:c>
      <x:c r="E4" s="33" t="str">
        <x:v>RMB</x:v>
      </x:c>
      <x:c r="F4" s="33" t="str">
        <x:v>Fully loaded annual cost</x:v>
      </x:c>
    </x:row>
    <x:row r="5" ht="52.79999923706055" hidden="0" customHeight="1">
      <x:c r="A5" s="33" t="str">
        <x:v>Platform engineer</x:v>
      </x:c>
      <x:c r="B5" s="34" t="n">
        <x:v>900000</x:v>
      </x:c>
      <x:c r="C5" s="33" t="n">
        <x:f>'Company Inputs'!B5</x:f>
        <x:v>4</x:v>
      </x:c>
      <x:c r="D5" s="34" t="n">
        <x:f>B5*C5</x:f>
        <x:v>3600000</x:v>
      </x:c>
      <x:c r="E5" s="33" t="str">
        <x:v>RMB</x:v>
      </x:c>
      <x:c r="F5" s="33" t="str">
        <x:v>Fully loaded annual cost</x:v>
      </x:c>
    </x:row>
    <x:row r="6" ht="52.79999923706055" hidden="0" customHeight="1">
      <x:c r="A6" s="33" t="str">
        <x:v>Enterprise sales</x:v>
      </x:c>
      <x:c r="B6" s="34" t="n">
        <x:v>840000</x:v>
      </x:c>
      <x:c r="C6" s="33" t="n">
        <x:f>'Company Inputs'!B6</x:f>
        <x:v>3</x:v>
      </x:c>
      <x:c r="D6" s="34" t="n">
        <x:f>B6*C6</x:f>
        <x:v>2520000</x:v>
      </x:c>
      <x:c r="E6" s="33" t="str">
        <x:v>RMB</x:v>
      </x:c>
      <x:c r="F6" s="33" t="str">
        <x:v>Fully loaded annual cost</x:v>
      </x:c>
    </x:row>
    <x:row r="7" ht="52.79999923706055" hidden="0" customHeight="1">
      <x:c r="A7" s="33" t="str">
        <x:v>Model and tooling per pilot</x:v>
      </x:c>
      <x:c r="B7" s="34" t="n">
        <x:v>120000</x:v>
      </x:c>
      <x:c r="C7" s="33" t="n">
        <x:v>3</x:v>
      </x:c>
      <x:c r="D7" s="34" t="n">
        <x:f>B7*C7</x:f>
        <x:v>360000</x:v>
      </x:c>
      <x:c r="E7" s="33" t="str">
        <x:v>RMB</x:v>
      </x:c>
      <x:c r="F7" s="33" t="str">
        <x:v>Variable cost at 90-day target</x:v>
      </x:c>
    </x:row>
    <x:row r="8" ht="66" hidden="0" customHeight="1">
      <x:c r="A8" s="35" t="str">
        <x:v>Travel, security and integration per pilot</x:v>
      </x:c>
      <x:c r="B8" s="36" t="n">
        <x:v>80000</x:v>
      </x:c>
      <x:c r="C8" s="35" t="n">
        <x:v>3</x:v>
      </x:c>
      <x:c r="D8" s="36" t="n">
        <x:f>B8*C8</x:f>
        <x:v>240000</x:v>
      </x:c>
      <x:c r="E8" s="35" t="str">
        <x:v>RMB</x:v>
      </x:c>
      <x:c r="F8" s="35" t="str">
        <x:v>Variable cost at 90-day target</x:v>
      </x:c>
    </x:row>
    <x:row r="9" ht="15" hidden="0" customHeight="1">
      <x:c r="A9" s="18"/>
      <x:c r="B9" s="18"/>
      <x:c r="C9" s="18"/>
      <x:c r="D9" s="18"/>
      <x:c r="E9" s="18"/>
      <x:c r="F9" s="18"/>
    </x:row>
    <x:row r="10" ht="26.399999618530273" hidden="0" customHeight="1">
      <x:c r="A10" s="32" t="str">
        <x:v>Capacity metric</x:v>
      </x:c>
      <x:c r="B10" s="32" t="str">
        <x:v>Value</x:v>
      </x:c>
      <x:c r="C10" s="32" t="str">
        <x:v>Unit</x:v>
      </x:c>
      <x:c r="D10" s="18"/>
      <x:c r="E10" s="18"/>
      <x:c r="F10" s="18"/>
    </x:row>
    <x:row r="11" ht="39.599998474121094" hidden="0" customHeight="1">
      <x:c r="A11" s="33" t="str">
        <x:v>Annual available FDE days</x:v>
      </x:c>
      <x:c r="B11" s="37" t="n">
        <x:f>'Company Inputs'!B4*'Company Inputs'!B13*'Company Inputs'!B14</x:f>
        <x:v>1232</x:v>
      </x:c>
      <x:c r="C11" s="33" t="str">
        <x:v>days</x:v>
      </x:c>
      <x:c r="D11" s="18"/>
      <x:c r="E11" s="18"/>
      <x:c r="F11" s="18"/>
    </x:row>
    <x:row r="12" ht="79.19999694824219" hidden="0" customHeight="1">
      <x:c r="A12" s="33" t="str">
        <x:v>Maximum annual pilot equivalents at 2 FDE × 45 days</x:v>
      </x:c>
      <x:c r="B12" s="37" t="n">
        <x:f>B11/('Company Inputs'!B11*'Company Inputs'!B12)</x:f>
        <x:v>13.688888888888888</x:v>
      </x:c>
      <x:c r="C12" s="33" t="str">
        <x:v>pilots</x:v>
      </x:c>
      <x:c r="D12" s="18"/>
      <x:c r="E12" s="18"/>
      <x:c r="F12" s="18"/>
    </x:row>
    <x:row r="13" ht="66" hidden="0" customHeight="1">
      <x:c r="A13" s="33" t="str">
        <x:v>90-day target variable delivery cost</x:v>
      </x:c>
      <x:c r="B13" s="34" t="n">
        <x:f>SUM(D7:D8)</x:f>
        <x:v>600000</x:v>
      </x:c>
      <x:c r="C13" s="33" t="str">
        <x:v>RMB</x:v>
      </x:c>
      <x:c r="D13" s="18"/>
      <x:c r="E13" s="18"/>
      <x:c r="F13" s="18"/>
    </x:row>
    <x:row r="14" ht="52.79999923706055" hidden="0" customHeight="1">
      <x:c r="A14" s="35" t="str">
        <x:v>Annual fixed personnel cost</x:v>
      </x:c>
      <x:c r="B14" s="36" t="n">
        <x:f>SUM(D4:D6)</x:f>
        <x:v>11880000</x:v>
      </x:c>
      <x:c r="C14" s="35" t="str">
        <x:v>RMB</x:v>
      </x:c>
      <x:c r="D14" s="18"/>
      <x:c r="E14" s="18"/>
      <x:c r="F14" s="18"/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ea541091862f44d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4" hidden="0" customHeight="1">
      <x:c r="A1" s="17" t="str">
        <x:v>Candidate Industries — Research Questions</x:v>
      </x:c>
      <x:c r="B1" s="17"/>
      <x:c r="C1" s="17"/>
      <x:c r="D1" s="17"/>
      <x:c r="E1" s="17"/>
    </x:row>
    <x:row r="2" ht="15" hidden="0" customHeight="1">
      <x:c r="A2" s="18"/>
      <x:c r="B2" s="18"/>
      <x:c r="C2" s="18"/>
      <x:c r="D2" s="18"/>
      <x:c r="E2" s="18"/>
    </x:row>
    <x:row r="3" ht="52.79999923706055" hidden="0" customHeight="1">
      <x:c r="A3" s="32" t="str">
        <x:v>Industry</x:v>
      </x:c>
      <x:c r="B3" s="32" t="str">
        <x:v>Primary workflow hypothesis</x:v>
      </x:c>
      <x:c r="C3" s="32" t="str">
        <x:v>Key buyer</x:v>
      </x:c>
      <x:c r="D3" s="32" t="str">
        <x:v>Evidence to collect</x:v>
      </x:c>
      <x:c r="E3" s="32" t="str">
        <x:v>Regulatory focus</x:v>
      </x:c>
    </x:row>
    <x:row r="4" ht="105.5999984741211" hidden="0" customHeight="1">
      <x:c r="A4" s="33" t="str">
        <x:v>Manufacturing</x:v>
      </x:c>
      <x:c r="B4" s="33" t="str">
        <x:v>Quality, maintenance, procurement and production workflows</x:v>
      </x:c>
      <x:c r="C4" s="33" t="str">
        <x:v>COO / CIO / plant operations</x:v>
      </x:c>
      <x:c r="D4" s="33" t="str">
        <x:v>Digitalization spend, workflow pain, target accounts</x:v>
      </x:c>
      <x:c r="E4" s="33" t="str">
        <x:v>Operational safety and data boundary</x:v>
      </x:c>
    </x:row>
    <x:row r="5" ht="105.5999984741211" hidden="0" customHeight="1">
      <x:c r="A5" s="33" t="str">
        <x:v>Retail and e-commerce</x:v>
      </x:c>
      <x:c r="B5" s="33" t="str">
        <x:v>Merchandising, content, customer service and operations</x:v>
      </x:c>
      <x:c r="C5" s="33" t="str">
        <x:v>E-commerce GM / CMO / COO</x:v>
      </x:c>
      <x:c r="D5" s="33" t="str">
        <x:v>Channel complexity, labor intensity, target accounts</x:v>
      </x:c>
      <x:c r="E5" s="33" t="str">
        <x:v>Consumer data and advertising compliance</x:v>
      </x:c>
    </x:row>
    <x:row r="6" ht="92.4000015258789" hidden="0" customHeight="1">
      <x:c r="A6" s="33" t="str">
        <x:v>Financial services</x:v>
      </x:c>
      <x:c r="B6" s="33" t="str">
        <x:v>Research, compliance, operations and customer workflows</x:v>
      </x:c>
      <x:c r="C6" s="33" t="str">
        <x:v>CIO / business head / compliance</x:v>
      </x:c>
      <x:c r="D6" s="33" t="str">
        <x:v>Technology budgets, process evidence, target accounts</x:v>
      </x:c>
      <x:c r="E6" s="33" t="str">
        <x:v>Model risk, privacy and regulated data</x:v>
      </x:c>
    </x:row>
    <x:row r="7" ht="105.5999984741211" hidden="0" customHeight="1">
      <x:c r="A7" s="33" t="str">
        <x:v>Healthcare</x:v>
      </x:c>
      <x:c r="B7" s="33" t="str">
        <x:v>Clinical administration, research and operational workflows</x:v>
      </x:c>
      <x:c r="C7" s="33" t="str">
        <x:v>CIO / operations / research</x:v>
      </x:c>
      <x:c r="D7" s="33" t="str">
        <x:v>Non-clinical workflow evidence and target accounts</x:v>
      </x:c>
      <x:c r="E7" s="33" t="str">
        <x:v>Medical claims, privacy and patient safety</x:v>
      </x:c>
    </x:row>
    <x:row r="8" ht="92.4000015258789" hidden="0" customHeight="1">
      <x:c r="A8" s="33" t="str">
        <x:v>Enterprise software</x:v>
      </x:c>
      <x:c r="B8" s="33" t="str">
        <x:v>Implementation, support, migration and customer success</x:v>
      </x:c>
      <x:c r="C8" s="33" t="str">
        <x:v>CEO / CRO / services leader</x:v>
      </x:c>
      <x:c r="D8" s="33" t="str">
        <x:v>Services margin, implementation burden, target accounts</x:v>
      </x:c>
      <x:c r="E8" s="33" t="str">
        <x:v>Customer credential and tenant isolation</x:v>
      </x:c>
    </x:row>
    <x:row r="9" ht="79.19999694824219" hidden="0" customHeight="1">
      <x:c r="A9" s="35" t="str">
        <x:v>Professional services</x:v>
      </x:c>
      <x:c r="B9" s="35" t="str">
        <x:v>Research, document review and client delivery</x:v>
      </x:c>
      <x:c r="C9" s="35" t="str">
        <x:v>Managing partner / practice lead</x:v>
      </x:c>
      <x:c r="D9" s="35" t="str">
        <x:v>Knowledge intensity, utilization and target accounts</x:v>
      </x:c>
      <x:c r="E9" s="35" t="str">
        <x:v>Confidentiality and professional liability</x:v>
      </x:c>
    </x:row>
  </x:sheetData>
  <x:mergeCells>
    <x:mergeCell ref="A1:E1"/>
  </x:mergeCells>
  <x:pageMargins left="0.7" right="0.7" top="0.75" bottom="0.75" header="0.3" footer="0.3"/>
</x:worksheet>
</file>