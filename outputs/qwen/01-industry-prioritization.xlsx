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Scoring" sheetId="1" state="visible" r:id="rId1"/>
    <sheet xmlns:r="http://schemas.openxmlformats.org/officeDocument/2006/relationships" name="Scoring Rationale" sheetId="2" state="visible" r:id="rId2"/>
    <sheet xmlns:r="http://schemas.openxmlformats.org/officeDocument/2006/relationships" name="Capacity Model" sheetId="3" state="visible" r:id="rId3"/>
    <sheet xmlns:r="http://schemas.openxmlformats.org/officeDocument/2006/relationships" name="Revenue 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0080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0" borderId="1" pivotButton="0" quotePrefix="0" xfId="0"/>
    <xf numFmtId="0" fontId="7" fillId="3" borderId="1" pivotButton="0" quotePrefix="0" xfId="0"/>
    <xf numFmtId="164" fontId="4" fillId="3" borderId="1" pivotButton="0" quotePrefix="0" xfId="0"/>
    <xf numFmtId="0" fontId="0" fillId="3" borderId="1" pivotButton="0" quotePrefix="0" xfId="0"/>
    <xf numFmtId="0" fontId="7" fillId="0" borderId="1" pivotButton="0" quotePrefix="0" xfId="0"/>
    <xf numFmtId="164" fontId="4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FieldPilot AI - Industry Prioritization Scoring</t>
        </is>
      </c>
    </row>
    <row r="3">
      <c r="A3" s="2" t="inlineStr">
        <is>
          <t>Industry</t>
        </is>
      </c>
      <c r="B3" s="2" t="inlineStr">
        <is>
          <t>TAM Growth
(1-5)</t>
        </is>
      </c>
      <c r="C3" s="2" t="inlineStr">
        <is>
          <t>Data Readiness
(1-5)</t>
        </is>
      </c>
      <c r="D3" s="2" t="inlineStr">
        <is>
          <t>FDE Fit
(1-5)</t>
        </is>
      </c>
      <c r="E3" s="2" t="inlineStr">
        <is>
          <t>Compliance
(1-5)</t>
        </is>
      </c>
      <c r="F3" s="2" t="inlineStr">
        <is>
          <t>Willingness
(1-5)</t>
        </is>
      </c>
      <c r="G3" s="2" t="inlineStr">
        <is>
          <t>Competition
(1-5, inv)</t>
        </is>
      </c>
      <c r="H3" s="2" t="inlineStr">
        <is>
          <t>Weighted Score</t>
        </is>
      </c>
      <c r="I3" s="2" t="inlineStr">
        <is>
          <t>Rank</t>
        </is>
      </c>
      <c r="J3" s="2" t="inlineStr">
        <is>
          <t>Selected</t>
        </is>
      </c>
    </row>
    <row r="4">
      <c r="A4" s="3" t="inlineStr">
        <is>
          <t>Manufacturing</t>
        </is>
      </c>
      <c r="B4" s="4" t="n">
        <v>5</v>
      </c>
      <c r="C4" s="4" t="n">
        <v>4</v>
      </c>
      <c r="D4" s="4" t="n">
        <v>5</v>
      </c>
      <c r="E4" s="4" t="n">
        <v>4</v>
      </c>
      <c r="F4" s="4" t="n">
        <v>4</v>
      </c>
      <c r="G4" s="4" t="n">
        <v>3</v>
      </c>
      <c r="H4" s="5">
        <f>B4*0.25+C4*0.2+D4*0.2+E4*0.15+F4*0.1+G4*0.1</f>
        <v/>
      </c>
      <c r="I4" s="6">
        <f>RANK(H4,$H$4:$H$9,0)</f>
        <v/>
      </c>
      <c r="J4" s="7">
        <f>IF(I4&lt;=2,"YES","")</f>
        <v/>
      </c>
    </row>
    <row r="5">
      <c r="A5" s="3" t="inlineStr">
        <is>
          <t>Retail/E-commerce</t>
        </is>
      </c>
      <c r="B5" s="4" t="n">
        <v>4</v>
      </c>
      <c r="C5" s="4" t="n">
        <v>4</v>
      </c>
      <c r="D5" s="4" t="n">
        <v>4</v>
      </c>
      <c r="E5" s="4" t="n">
        <v>4</v>
      </c>
      <c r="F5" s="4" t="n">
        <v>3</v>
      </c>
      <c r="G5" s="4" t="n">
        <v>4</v>
      </c>
      <c r="H5" s="5">
        <f>B5*0.25+C5*0.2+D5*0.2+E5*0.15+F5*0.1+G5*0.1</f>
        <v/>
      </c>
      <c r="I5" s="6">
        <f>RANK(H5,$H$4:$H$9,0)</f>
        <v/>
      </c>
      <c r="J5" s="7">
        <f>IF(I5&lt;=2,"YES","")</f>
        <v/>
      </c>
    </row>
    <row r="6">
      <c r="A6" s="3" t="inlineStr">
        <is>
          <t>Financial Services</t>
        </is>
      </c>
      <c r="B6" s="4" t="n">
        <v>5</v>
      </c>
      <c r="C6" s="4" t="n">
        <v>3</v>
      </c>
      <c r="D6" s="4" t="n">
        <v>4</v>
      </c>
      <c r="E6" s="4" t="n">
        <v>3</v>
      </c>
      <c r="F6" s="4" t="n">
        <v>5</v>
      </c>
      <c r="G6" s="4" t="n">
        <v>3</v>
      </c>
      <c r="H6" s="5">
        <f>B6*0.25+C6*0.2+D6*0.2+E6*0.15+F6*0.1+G6*0.1</f>
        <v/>
      </c>
      <c r="I6" s="6">
        <f>RANK(H6,$H$4:$H$9,0)</f>
        <v/>
      </c>
      <c r="J6" s="7">
        <f>IF(I6&lt;=2,"YES","")</f>
        <v/>
      </c>
    </row>
    <row r="7">
      <c r="A7" s="3" t="inlineStr">
        <is>
          <t>Healthcare</t>
        </is>
      </c>
      <c r="B7" s="4" t="n">
        <v>5</v>
      </c>
      <c r="C7" s="4" t="n">
        <v>2</v>
      </c>
      <c r="D7" s="4" t="n">
        <v>3</v>
      </c>
      <c r="E7" s="4" t="n">
        <v>2</v>
      </c>
      <c r="F7" s="4" t="n">
        <v>4</v>
      </c>
      <c r="G7" s="4" t="n">
        <v>2</v>
      </c>
      <c r="H7" s="5">
        <f>B7*0.25+C7*0.2+D7*0.2+E7*0.15+F7*0.1+G7*0.1</f>
        <v/>
      </c>
      <c r="I7" s="6">
        <f>RANK(H7,$H$4:$H$9,0)</f>
        <v/>
      </c>
      <c r="J7" s="7">
        <f>IF(I7&lt;=2,"YES","")</f>
        <v/>
      </c>
    </row>
    <row r="8">
      <c r="A8" s="3" t="inlineStr">
        <is>
          <t>Enterprise Software</t>
        </is>
      </c>
      <c r="B8" s="4" t="n">
        <v>4</v>
      </c>
      <c r="C8" s="4" t="n">
        <v>4</v>
      </c>
      <c r="D8" s="4" t="n">
        <v>5</v>
      </c>
      <c r="E8" s="4" t="n">
        <v>4</v>
      </c>
      <c r="F8" s="4" t="n">
        <v>3</v>
      </c>
      <c r="G8" s="4" t="n">
        <v>4</v>
      </c>
      <c r="H8" s="5">
        <f>B8*0.25+C8*0.2+D8*0.2+E8*0.15+F8*0.1+G8*0.1</f>
        <v/>
      </c>
      <c r="I8" s="6">
        <f>RANK(H8,$H$4:$H$9,0)</f>
        <v/>
      </c>
      <c r="J8" s="7">
        <f>IF(I8&lt;=2,"YES","")</f>
        <v/>
      </c>
    </row>
    <row r="9">
      <c r="A9" s="3" t="inlineStr">
        <is>
          <t>Professional Services</t>
        </is>
      </c>
      <c r="B9" s="4" t="n">
        <v>3</v>
      </c>
      <c r="C9" s="4" t="n">
        <v>3</v>
      </c>
      <c r="D9" s="4" t="n">
        <v>3</v>
      </c>
      <c r="E9" s="4" t="n">
        <v>4</v>
      </c>
      <c r="F9" s="4" t="n">
        <v>3</v>
      </c>
      <c r="G9" s="4" t="n">
        <v>3</v>
      </c>
      <c r="H9" s="5">
        <f>B9*0.25+C9*0.2+D9*0.2+E9*0.15+F9*0.1+G9*0.1</f>
        <v/>
      </c>
      <c r="I9" s="6">
        <f>RANK(H9,$H$4:$H$9,0)</f>
        <v/>
      </c>
      <c r="J9" s="7">
        <f>IF(I9&lt;=2,"YES","")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55" customWidth="1" min="4" max="4"/>
    <col width="25" customWidth="1" min="5" max="5"/>
  </cols>
  <sheetData>
    <row r="1">
      <c r="A1" s="1" t="inlineStr">
        <is>
          <t>Scoring Rationale &amp; Evidence</t>
        </is>
      </c>
    </row>
    <row r="3">
      <c r="A3" s="8" t="inlineStr">
        <is>
          <t>Industry</t>
        </is>
      </c>
      <c r="B3" s="8" t="inlineStr">
        <is>
          <t>Dimension</t>
        </is>
      </c>
      <c r="C3" s="8" t="inlineStr">
        <is>
          <t>Score</t>
        </is>
      </c>
      <c r="D3" s="8" t="inlineStr">
        <is>
          <t>Rationale</t>
        </is>
      </c>
      <c r="E3" s="8" t="inlineStr">
        <is>
          <t>Source</t>
        </is>
      </c>
    </row>
    <row r="4">
      <c r="A4" s="9" t="inlineStr">
        <is>
          <t>Manufacturing</t>
        </is>
      </c>
      <c r="B4" s="9" t="inlineStr">
        <is>
          <t>TAM Growth</t>
        </is>
      </c>
      <c r="C4" s="4" t="n">
        <v>5</v>
      </c>
      <c r="D4" s="9" t="inlineStr">
        <is>
          <t>2026 market 204B RMB, &gt;70% YoY; 54% manufacturers deployed</t>
        </is>
      </c>
      <c r="E4" s="9" t="inlineStr">
        <is>
          <t>CSDN/Juejin 2026</t>
        </is>
      </c>
    </row>
    <row r="5">
      <c r="A5" s="9" t="inlineStr">
        <is>
          <t>Manufacturing</t>
        </is>
      </c>
      <c r="B5" s="9" t="inlineStr">
        <is>
          <t>Data Readiness</t>
        </is>
      </c>
      <c r="C5" s="4" t="n">
        <v>4</v>
      </c>
      <c r="D5" s="9" t="inlineStr">
        <is>
          <t>MES/ERP/SCADA widespread, good data structure</t>
        </is>
      </c>
      <c r="E5" s="9" t="inlineStr">
        <is>
          <t>Industry consensus</t>
        </is>
      </c>
    </row>
    <row r="6">
      <c r="A6" s="9" t="inlineStr">
        <is>
          <t>Manufacturing</t>
        </is>
      </c>
      <c r="B6" s="9" t="inlineStr">
        <is>
          <t>FDE Fit</t>
        </is>
      </c>
      <c r="C6" s="4" t="n">
        <v>5</v>
      </c>
      <c r="D6" s="9" t="inlineStr">
        <is>
          <t>Browser automation + desktop ops match production line systems</t>
        </is>
      </c>
      <c r="E6" s="9" t="inlineStr">
        <is>
          <t>FieldPilot capability</t>
        </is>
      </c>
    </row>
    <row r="7">
      <c r="A7" s="9" t="inlineStr">
        <is>
          <t>Manufacturing</t>
        </is>
      </c>
      <c r="B7" s="9" t="inlineStr">
        <is>
          <t>Compliance</t>
        </is>
      </c>
      <c r="C7" s="4" t="n">
        <v>4</v>
      </c>
      <c r="D7" s="9" t="inlineStr">
        <is>
          <t>Operational safety &amp; data boundary clear, private deployment OK</t>
        </is>
      </c>
      <c r="E7" s="9" t="inlineStr">
        <is>
          <t>company-brief.md</t>
        </is>
      </c>
    </row>
    <row r="8">
      <c r="A8" s="9" t="inlineStr">
        <is>
          <t>Manufacturing</t>
        </is>
      </c>
      <c r="B8" s="9" t="inlineStr">
        <is>
          <t>Willingness</t>
        </is>
      </c>
      <c r="C8" s="4" t="n">
        <v>4</v>
      </c>
      <c r="D8" s="9" t="inlineStr">
        <is>
          <t>Top manufacturers have digital budgets; Seres/Sanhua cases exist</t>
        </is>
      </c>
      <c r="E8" s="9" t="inlineStr">
        <is>
          <t>Juejin 2026</t>
        </is>
      </c>
    </row>
    <row r="9">
      <c r="A9" s="9" t="inlineStr">
        <is>
          <t>Manufacturing</t>
        </is>
      </c>
      <c r="B9" s="9" t="inlineStr">
        <is>
          <t>Competition</t>
        </is>
      </c>
      <c r="C9" s="4" t="n">
        <v>3</v>
      </c>
      <c r="D9" s="9" t="inlineStr">
        <is>
          <t>Midea/Haier/Siemens build own; SMEs have fewer choices</t>
        </is>
      </c>
      <c r="E9" s="9" t="inlineStr">
        <is>
          <t>Public reports</t>
        </is>
      </c>
    </row>
    <row r="10">
      <c r="A10" s="9" t="inlineStr">
        <is>
          <t>Financial</t>
        </is>
      </c>
      <c r="B10" s="9" t="inlineStr">
        <is>
          <t>TAM Growth</t>
        </is>
      </c>
      <c r="C10" s="4" t="n">
        <v>5</v>
      </c>
      <c r="D10" s="9" t="inlineStr">
        <is>
          <t>2025 contracts 9.5B RMB, CAGR 82.6%</t>
        </is>
      </c>
      <c r="E10" s="9" t="inlineStr">
        <is>
          <t>EEO 2026.02</t>
        </is>
      </c>
    </row>
    <row r="11">
      <c r="A11" s="9" t="inlineStr">
        <is>
          <t>Financial</t>
        </is>
      </c>
      <c r="B11" s="9" t="inlineStr">
        <is>
          <t>Data Readiness</t>
        </is>
      </c>
      <c r="C11" s="4" t="n">
        <v>3</v>
      </c>
      <c r="D11" s="9" t="inlineStr">
        <is>
          <t>Core systems mature but strictly siloed, long integration</t>
        </is>
      </c>
      <c r="E11" s="9" t="inlineStr">
        <is>
          <t>Industry consensus</t>
        </is>
      </c>
    </row>
    <row r="12">
      <c r="A12" s="9" t="inlineStr">
        <is>
          <t>Financial</t>
        </is>
      </c>
      <c r="B12" s="9" t="inlineStr">
        <is>
          <t>FDE Fit</t>
        </is>
      </c>
      <c r="C12" s="4" t="n">
        <v>4</v>
      </c>
      <c r="D12" s="9" t="inlineStr">
        <is>
          <t>Research/compliance/service scenarios suit Agent automation</t>
        </is>
      </c>
      <c r="E12" s="9" t="inlineStr">
        <is>
          <t>Baidu/Sina whitepaper</t>
        </is>
      </c>
    </row>
    <row r="13">
      <c r="A13" s="9" t="inlineStr">
        <is>
          <t>Financial</t>
        </is>
      </c>
      <c r="B13" s="9" t="inlineStr">
        <is>
          <t>Compliance</t>
        </is>
      </c>
      <c r="C13" s="4" t="n">
        <v>3</v>
      </c>
      <c r="D13" s="9" t="inlineStr">
        <is>
          <t>Model risk/privacy/regulated data need extra investment</t>
        </is>
      </c>
      <c r="E13" s="9" t="inlineStr">
        <is>
          <t>company-brief.md</t>
        </is>
      </c>
    </row>
    <row r="14">
      <c r="A14" s="9" t="inlineStr">
        <is>
          <t>Financial</t>
        </is>
      </c>
      <c r="B14" s="9" t="inlineStr">
        <is>
          <t>Willingness</t>
        </is>
      </c>
      <c r="C14" s="4" t="n">
        <v>5</v>
      </c>
      <c r="D14" s="9" t="inlineStr">
        <is>
          <t>Bank 43%/AM 27%/Insurance 15%, 30-150K per pilot</t>
        </is>
      </c>
      <c r="E14" s="9" t="inlineStr">
        <is>
          <t>EEO 2026.02</t>
        </is>
      </c>
    </row>
    <row r="15">
      <c r="A15" s="9" t="inlineStr">
        <is>
          <t>Financial</t>
        </is>
      </c>
      <c r="B15" s="9" t="inlineStr">
        <is>
          <t>Competition</t>
        </is>
      </c>
      <c r="C15" s="4" t="n">
        <v>3</v>
      </c>
      <c r="D15" s="9" t="inlineStr">
        <is>
          <t>Big tech present but vertical FDE model differentiates</t>
        </is>
      </c>
      <c r="E15" s="9" t="inlineStr">
        <is>
          <t>Jiemian 2026</t>
        </is>
      </c>
    </row>
    <row r="16">
      <c r="A16" s="9" t="inlineStr">
        <is>
          <t>Retail/E-comm</t>
        </is>
      </c>
      <c r="B16" s="9" t="inlineStr">
        <is>
          <t>TAM Growth</t>
        </is>
      </c>
      <c r="C16" s="4" t="n">
        <v>4</v>
      </c>
      <c r="D16" s="9" t="inlineStr">
        <is>
          <t>Full-chain AI accelerating but market fragmented</t>
        </is>
      </c>
      <c r="E16" s="9" t="inlineStr">
        <is>
          <t>Eastmoney 2026</t>
        </is>
      </c>
    </row>
    <row r="17">
      <c r="A17" s="9" t="inlineStr">
        <is>
          <t>Retail/E-comm</t>
        </is>
      </c>
      <c r="B17" s="9" t="inlineStr">
        <is>
          <t>Data Readiness</t>
        </is>
      </c>
      <c r="C17" s="4" t="n">
        <v>4</v>
      </c>
      <c r="D17" s="9" t="inlineStr">
        <is>
          <t>E-commerce APIs mature, data well-structured</t>
        </is>
      </c>
      <c r="E17" s="9" t="inlineStr">
        <is>
          <t>Industry consensus</t>
        </is>
      </c>
    </row>
    <row r="18">
      <c r="A18" s="9" t="inlineStr">
        <is>
          <t>Retail/E-comm</t>
        </is>
      </c>
      <c r="B18" s="9" t="inlineStr">
        <is>
          <t>FDE Fit</t>
        </is>
      </c>
      <c r="C18" s="4" t="n">
        <v>4</v>
      </c>
      <c r="D18" s="9" t="inlineStr">
        <is>
          <t>Content gen/service/inventory mgmt high fit</t>
        </is>
      </c>
      <c r="E18" s="9" t="inlineStr">
        <is>
          <t>Shushangyun cases</t>
        </is>
      </c>
    </row>
    <row r="19">
      <c r="A19" s="9" t="inlineStr">
        <is>
          <t>Retail/E-comm</t>
        </is>
      </c>
      <c r="B19" s="9" t="inlineStr">
        <is>
          <t>Compliance</t>
        </is>
      </c>
      <c r="C19" s="4" t="n">
        <v>4</v>
      </c>
      <c r="D19" s="9" t="inlineStr">
        <is>
          <t>Consumer data &amp; ad compliance frameworks mature</t>
        </is>
      </c>
      <c r="E19" s="9" t="inlineStr">
        <is>
          <t>Industry consensus</t>
        </is>
      </c>
    </row>
    <row r="20">
      <c r="A20" s="9" t="inlineStr">
        <is>
          <t>Retail/E-comm</t>
        </is>
      </c>
      <c r="B20" s="9" t="inlineStr">
        <is>
          <t>Willingness</t>
        </is>
      </c>
      <c r="C20" s="4" t="n">
        <v>3</v>
      </c>
      <c r="D20" s="9" t="inlineStr">
        <is>
          <t>Low margins, SME budgets limited</t>
        </is>
      </c>
      <c r="E20" s="9" t="inlineStr">
        <is>
          <t>Industry consensus</t>
        </is>
      </c>
    </row>
    <row r="21">
      <c r="A21" s="9" t="inlineStr">
        <is>
          <t>Retail/E-comm</t>
        </is>
      </c>
      <c r="B21" s="9" t="inlineStr">
        <is>
          <t>Competition</t>
        </is>
      </c>
      <c r="C21" s="4" t="n">
        <v>4</v>
      </c>
      <c r="D21" s="9" t="inlineStr">
        <is>
          <t>Intense competition, many SaaS tools</t>
        </is>
      </c>
      <c r="E21" s="9" t="inlineStr">
        <is>
          <t>Jiemian 2026</t>
        </is>
      </c>
    </row>
    <row r="22">
      <c r="A22" s="9" t="inlineStr">
        <is>
          <t>Healthcare</t>
        </is>
      </c>
      <c r="B22" s="9" t="inlineStr">
        <is>
          <t>TAM Growth</t>
        </is>
      </c>
      <c r="C22" s="4" t="n">
        <v>5</v>
      </c>
      <c r="D22" s="9" t="inlineStr">
        <is>
          <t>AI+Healthcare &gt;100B, Agent penetration 40%</t>
        </is>
      </c>
      <c r="E22" s="9" t="inlineStr">
        <is>
          <t>vzkoo/djkpai 2025</t>
        </is>
      </c>
    </row>
    <row r="23">
      <c r="A23" s="9" t="inlineStr">
        <is>
          <t>Healthcare</t>
        </is>
      </c>
      <c r="B23" s="9" t="inlineStr">
        <is>
          <t>Data Readiness</t>
        </is>
      </c>
      <c r="C23" s="4" t="n">
        <v>2</v>
      </c>
      <c r="D23" s="9" t="inlineStr">
        <is>
          <t>EMR standards uneven, severe data silos</t>
        </is>
      </c>
      <c r="E23" s="9" t="inlineStr">
        <is>
          <t>Industry consensus</t>
        </is>
      </c>
    </row>
    <row r="24">
      <c r="A24" s="9" t="inlineStr">
        <is>
          <t>Healthcare</t>
        </is>
      </c>
      <c r="B24" s="9" t="inlineStr">
        <is>
          <t>FDE Fit</t>
        </is>
      </c>
      <c r="C24" s="4" t="n">
        <v>3</v>
      </c>
      <c r="D24" s="9" t="inlineStr">
        <is>
          <t>Non-clinical admin fits; clinical scenarios high risk</t>
        </is>
      </c>
      <c r="E24" s="9" t="inlineStr">
        <is>
          <t>company-brief.md</t>
        </is>
      </c>
    </row>
    <row r="25">
      <c r="A25" s="9" t="inlineStr">
        <is>
          <t>Healthcare</t>
        </is>
      </c>
      <c r="B25" s="9" t="inlineStr">
        <is>
          <t>Compliance</t>
        </is>
      </c>
      <c r="C25" s="4" t="n">
        <v>2</v>
      </c>
      <c r="D25" s="9" t="inlineStr">
        <is>
          <t>Medical data privacy/patient safety/insurance compliance very high barrier</t>
        </is>
      </c>
      <c r="E25" s="9" t="inlineStr">
        <is>
          <t>company-brief.md</t>
        </is>
      </c>
    </row>
    <row r="26">
      <c r="A26" s="9" t="inlineStr">
        <is>
          <t>Healthcare</t>
        </is>
      </c>
      <c r="B26" s="9" t="inlineStr">
        <is>
          <t>Willingness</t>
        </is>
      </c>
      <c r="C26" s="4" t="n">
        <v>4</v>
      </c>
      <c r="D26" s="9" t="inlineStr">
        <is>
          <t>Large hospitals have budget but long decision cycles</t>
        </is>
      </c>
      <c r="E26" s="9" t="inlineStr">
        <is>
          <t>Industry consensus</t>
        </is>
      </c>
    </row>
    <row r="27">
      <c r="A27" s="9" t="inlineStr">
        <is>
          <t>Healthcare</t>
        </is>
      </c>
      <c r="B27" s="9" t="inlineStr">
        <is>
          <t>Competition</t>
        </is>
      </c>
      <c r="C27" s="4" t="n">
        <v>2</v>
      </c>
      <c r="D27" s="9" t="inlineStr">
        <is>
          <t>Many specialized medical AI vendors, hard to cross over</t>
        </is>
      </c>
      <c r="E27" s="9" t="inlineStr">
        <is>
          <t>Public reports</t>
        </is>
      </c>
    </row>
    <row r="28">
      <c r="A28" s="9" t="inlineStr">
        <is>
          <t>Enterprise SW</t>
        </is>
      </c>
      <c r="B28" s="9" t="inlineStr">
        <is>
          <t>TAM Growth</t>
        </is>
      </c>
      <c r="C28" s="4" t="n">
        <v>4</v>
      </c>
      <c r="D28" s="9" t="inlineStr">
        <is>
          <t>AI SaaS 2026 est. 449B, Agent trend clear</t>
        </is>
      </c>
      <c r="E28" s="9" t="inlineStr">
        <is>
          <t>Sina/Guandian 2026</t>
        </is>
      </c>
    </row>
    <row r="29">
      <c r="A29" s="9" t="inlineStr">
        <is>
          <t>Enterprise SW</t>
        </is>
      </c>
      <c r="B29" s="9" t="inlineStr">
        <is>
          <t>Data Readiness</t>
        </is>
      </c>
      <c r="C29" s="4" t="n">
        <v>4</v>
      </c>
      <c r="D29" s="9" t="inlineStr">
        <is>
          <t>SaaS data well-structured, APIs rich</t>
        </is>
      </c>
      <c r="E29" s="9" t="inlineStr">
        <is>
          <t>Industry consensus</t>
        </is>
      </c>
    </row>
    <row r="30">
      <c r="A30" s="9" t="inlineStr">
        <is>
          <t>Enterprise SW</t>
        </is>
      </c>
      <c r="B30" s="9" t="inlineStr">
        <is>
          <t>FDE Fit</t>
        </is>
      </c>
      <c r="C30" s="4" t="n">
        <v>5</v>
      </c>
      <c r="D30" s="9" t="inlineStr">
        <is>
          <t>Implementation/migration/support perfectly match FDE model</t>
        </is>
      </c>
      <c r="E30" s="9" t="inlineStr">
        <is>
          <t>company-brief.md</t>
        </is>
      </c>
    </row>
    <row r="31">
      <c r="A31" s="9" t="inlineStr">
        <is>
          <t>Enterprise SW</t>
        </is>
      </c>
      <c r="B31" s="9" t="inlineStr">
        <is>
          <t>Compliance</t>
        </is>
      </c>
      <c r="C31" s="4" t="n">
        <v>4</v>
      </c>
      <c r="D31" s="9" t="inlineStr">
        <is>
          <t>Tenant isolation/credential mgmt have mature solutions</t>
        </is>
      </c>
      <c r="E31" s="9" t="inlineStr">
        <is>
          <t>company-brief.md</t>
        </is>
      </c>
    </row>
    <row r="32">
      <c r="A32" s="9" t="inlineStr">
        <is>
          <t>Enterprise SW</t>
        </is>
      </c>
      <c r="B32" s="9" t="inlineStr">
        <is>
          <t>Willingness</t>
        </is>
      </c>
      <c r="C32" s="4" t="n">
        <v>3</v>
      </c>
      <c r="D32" s="9" t="inlineStr">
        <is>
          <t>SaaS firms thin margins, limited payment ability</t>
        </is>
      </c>
      <c r="E32" s="9" t="inlineStr">
        <is>
          <t>Industry consensus</t>
        </is>
      </c>
    </row>
    <row r="33">
      <c r="A33" s="9" t="inlineStr">
        <is>
          <t>Enterprise SW</t>
        </is>
      </c>
      <c r="B33" s="9" t="inlineStr">
        <is>
          <t>Competition</t>
        </is>
      </c>
      <c r="C33" s="4" t="n">
        <v>4</v>
      </c>
      <c r="D33" s="9" t="inlineStr">
        <is>
          <t>Many low-code/AI-native tools, differentiation pressure</t>
        </is>
      </c>
      <c r="E33" s="9" t="inlineStr">
        <is>
          <t>Jiemian 2026</t>
        </is>
      </c>
    </row>
    <row r="34">
      <c r="A34" s="9" t="inlineStr">
        <is>
          <t>Prof. Services</t>
        </is>
      </c>
      <c r="B34" s="9" t="inlineStr">
        <is>
          <t>TAM Growth</t>
        </is>
      </c>
      <c r="C34" s="4" t="n">
        <v>3</v>
      </c>
      <c r="D34" s="9" t="inlineStr">
        <is>
          <t>AI-assisted research/doc review stable but not explosive</t>
        </is>
      </c>
      <c r="E34" s="9" t="inlineStr">
        <is>
          <t>Industry consensus</t>
        </is>
      </c>
    </row>
    <row r="35">
      <c r="A35" s="9" t="inlineStr">
        <is>
          <t>Prof. Services</t>
        </is>
      </c>
      <c r="B35" s="9" t="inlineStr">
        <is>
          <t>Data Readiness</t>
        </is>
      </c>
      <c r="C35" s="4" t="n">
        <v>3</v>
      </c>
      <c r="D35" s="9" t="inlineStr">
        <is>
          <t>Knowledge-intensive but highly unstructured</t>
        </is>
      </c>
      <c r="E35" s="9" t="inlineStr">
        <is>
          <t>Industry consensus</t>
        </is>
      </c>
    </row>
    <row r="36">
      <c r="A36" s="9" t="inlineStr">
        <is>
          <t>Prof. Services</t>
        </is>
      </c>
      <c r="B36" s="9" t="inlineStr">
        <is>
          <t>FDE Fit</t>
        </is>
      </c>
      <c r="C36" s="4" t="n">
        <v>3</v>
      </c>
      <c r="D36" s="9" t="inlineStr">
        <is>
          <t>Research/doc scenarios fit but high customization</t>
        </is>
      </c>
      <c r="E36" s="9" t="inlineStr">
        <is>
          <t>company-brief.md</t>
        </is>
      </c>
    </row>
    <row r="37">
      <c r="A37" s="9" t="inlineStr">
        <is>
          <t>Prof. Services</t>
        </is>
      </c>
      <c r="B37" s="9" t="inlineStr">
        <is>
          <t>Compliance</t>
        </is>
      </c>
      <c r="C37" s="4" t="n">
        <v>4</v>
      </c>
      <c r="D37" s="9" t="inlineStr">
        <is>
          <t>Confidentiality/professional liability frameworks mature</t>
        </is>
      </c>
      <c r="E37" s="9" t="inlineStr">
        <is>
          <t>company-brief.md</t>
        </is>
      </c>
    </row>
    <row r="38">
      <c r="A38" s="9" t="inlineStr">
        <is>
          <t>Prof. Services</t>
        </is>
      </c>
      <c r="B38" s="9" t="inlineStr">
        <is>
          <t>Willingness</t>
        </is>
      </c>
      <c r="C38" s="4" t="n">
        <v>3</v>
      </c>
      <c r="D38" s="9" t="inlineStr">
        <is>
          <t>Project-based billing, cautious on efficiency tools</t>
        </is>
      </c>
      <c r="E38" s="9" t="inlineStr">
        <is>
          <t>Industry consensus</t>
        </is>
      </c>
    </row>
    <row r="39">
      <c r="A39" s="9" t="inlineStr">
        <is>
          <t>Prof. Services</t>
        </is>
      </c>
      <c r="B39" s="9" t="inlineStr">
        <is>
          <t>Competition</t>
        </is>
      </c>
      <c r="C39" s="4" t="n">
        <v>3</v>
      </c>
      <c r="D39" s="9" t="inlineStr">
        <is>
          <t>Law firms/consultancies conservative IT investment</t>
        </is>
      </c>
      <c r="E39" s="9" t="inlineStr">
        <is>
          <t>Industry consensus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28" customWidth="1" min="4" max="4"/>
  </cols>
  <sheetData>
    <row r="1">
      <c r="A1" s="1" t="inlineStr">
        <is>
          <t>Capacity &amp; Unit Economics</t>
        </is>
      </c>
    </row>
    <row r="3">
      <c r="A3" s="8" t="inlineStr">
        <is>
          <t>Metric</t>
        </is>
      </c>
      <c r="B3" s="8" t="inlineStr">
        <is>
          <t>Value</t>
        </is>
      </c>
      <c r="C3" s="8" t="inlineStr">
        <is>
          <t>Unit</t>
        </is>
      </c>
      <c r="D3" s="8" t="inlineStr">
        <is>
          <t>Source/Formula</t>
        </is>
      </c>
    </row>
    <row r="4">
      <c r="A4" s="9" t="inlineStr">
        <is>
          <t>FDE headcount</t>
        </is>
      </c>
      <c r="B4" s="10" t="n">
        <v>8</v>
      </c>
      <c r="C4" s="9" t="inlineStr">
        <is>
          <t>people</t>
        </is>
      </c>
      <c r="D4" s="9" t="inlineStr">
        <is>
          <t>company-brief.md</t>
        </is>
      </c>
    </row>
    <row r="5">
      <c r="A5" s="9" t="inlineStr">
        <is>
          <t>Platform engineers</t>
        </is>
      </c>
      <c r="B5" s="10" t="n">
        <v>4</v>
      </c>
      <c r="C5" s="9" t="inlineStr">
        <is>
          <t>people</t>
        </is>
      </c>
      <c r="D5" s="9" t="inlineStr">
        <is>
          <t>company-brief.md</t>
        </is>
      </c>
    </row>
    <row r="6">
      <c r="A6" s="9" t="inlineStr">
        <is>
          <t>Enterprise sales</t>
        </is>
      </c>
      <c r="B6" s="10" t="n">
        <v>3</v>
      </c>
      <c r="C6" s="9" t="inlineStr">
        <is>
          <t>people</t>
        </is>
      </c>
      <c r="D6" s="9" t="inlineStr">
        <is>
          <t>company-brief.md</t>
        </is>
      </c>
    </row>
    <row r="7">
      <c r="A7" s="9" t="inlineStr">
        <is>
          <t>12-month budget</t>
        </is>
      </c>
      <c r="B7" s="11" t="n">
        <v>8000000</v>
      </c>
      <c r="C7" s="9" t="inlineStr">
        <is>
          <t>RMB</t>
        </is>
      </c>
      <c r="D7" s="9" t="inlineStr">
        <is>
          <t>company-brief.md</t>
        </is>
      </c>
    </row>
    <row r="8">
      <c r="A8" s="9" t="inlineStr">
        <is>
          <t>FDE annual cost (fully loaded)</t>
        </is>
      </c>
      <c r="B8" s="11" t="n">
        <v>720000</v>
      </c>
      <c r="C8" s="9" t="inlineStr">
        <is>
          <t>RMB/person</t>
        </is>
      </c>
      <c r="D8" s="9" t="inlineStr">
        <is>
          <t>financial-assumptions.xlsx</t>
        </is>
      </c>
    </row>
    <row r="9">
      <c r="A9" s="9" t="inlineStr">
        <is>
          <t>Platform engineer annual cost</t>
        </is>
      </c>
      <c r="B9" s="11" t="n">
        <v>900000</v>
      </c>
      <c r="C9" s="9" t="inlineStr">
        <is>
          <t>RMB/person</t>
        </is>
      </c>
      <c r="D9" s="9" t="inlineStr">
        <is>
          <t>financial-assumptions.xlsx</t>
        </is>
      </c>
    </row>
    <row r="10">
      <c r="A10" s="9" t="inlineStr">
        <is>
          <t>Sales annual cost</t>
        </is>
      </c>
      <c r="B10" s="11" t="n">
        <v>840000</v>
      </c>
      <c r="C10" s="9" t="inlineStr">
        <is>
          <t>RMB/person</t>
        </is>
      </c>
      <c r="D10" s="9" t="inlineStr">
        <is>
          <t>financial-assumptions.xlsx</t>
        </is>
      </c>
    </row>
    <row r="11">
      <c r="A11" s="9" t="inlineStr">
        <is>
          <t>Annual fixed personnel cost</t>
        </is>
      </c>
      <c r="B11" s="12">
        <f>B5*B4+B6*B5+B7*B6</f>
        <v/>
      </c>
      <c r="C11" s="9" t="inlineStr">
        <is>
          <t>RMB</t>
        </is>
      </c>
      <c r="D11" s="9" t="inlineStr">
        <is>
          <t>financial-assumptions.xlsx</t>
        </is>
      </c>
    </row>
    <row r="12">
      <c r="A12" s="9" t="inlineStr">
        <is>
          <t>Per-pilot model/tooling cost</t>
        </is>
      </c>
      <c r="B12" s="11" t="n">
        <v>120000</v>
      </c>
      <c r="C12" s="9" t="inlineStr">
        <is>
          <t>RMB</t>
        </is>
      </c>
      <c r="D12" s="9" t="inlineStr">
        <is>
          <t>financial-assumptions.xlsx</t>
        </is>
      </c>
    </row>
    <row r="13">
      <c r="A13" s="9" t="inlineStr">
        <is>
          <t>Per-pilot travel/security/integration</t>
        </is>
      </c>
      <c r="B13" s="11" t="n">
        <v>80000</v>
      </c>
      <c r="C13" s="9" t="inlineStr">
        <is>
          <t>RMB</t>
        </is>
      </c>
      <c r="D13" s="9" t="inlineStr">
        <is>
          <t>financial-assumptions.xlsx</t>
        </is>
      </c>
    </row>
    <row r="14">
      <c r="A14" s="9" t="inlineStr">
        <is>
          <t>Per-pilot variable cost total</t>
        </is>
      </c>
      <c r="B14" s="12">
        <f>B12+B13</f>
        <v/>
      </c>
      <c r="C14" s="9" t="inlineStr">
        <is>
          <t>RMB</t>
        </is>
      </c>
      <c r="D14" s="9" t="inlineStr">
        <is>
          <t>calculated</t>
        </is>
      </c>
    </row>
    <row r="15">
      <c r="A15" s="9" t="inlineStr">
        <is>
          <t>Annual available FDE days</t>
        </is>
      </c>
      <c r="B15" s="12">
        <f>B4*220*0.7</f>
        <v/>
      </c>
      <c r="C15" s="9" t="inlineStr">
        <is>
          <t>days</t>
        </is>
      </c>
      <c r="D15" s="9" t="inlineStr">
        <is>
          <t>220 days * 70% utilization</t>
        </is>
      </c>
    </row>
    <row r="16">
      <c r="A16" s="9" t="inlineStr">
        <is>
          <t>Per-pilot FDE days (2 FDE x 45d)</t>
        </is>
      </c>
      <c r="B16" s="10" t="n">
        <v>90</v>
      </c>
      <c r="C16" s="9" t="inlineStr">
        <is>
          <t>days</t>
        </is>
      </c>
      <c r="D16" s="9" t="inlineStr">
        <is>
          <t>financial-assumptions.xlsx</t>
        </is>
      </c>
    </row>
    <row r="17">
      <c r="A17" s="9" t="inlineStr">
        <is>
          <t>Max annual pilot equivalents</t>
        </is>
      </c>
      <c r="B17" s="12">
        <f>B15/B16</f>
        <v/>
      </c>
      <c r="C17" s="9" t="inlineStr">
        <is>
          <t>pilots</t>
        </is>
      </c>
      <c r="D17" s="9" t="inlineStr">
        <is>
          <t>calculated</t>
        </is>
      </c>
    </row>
    <row r="18">
      <c r="A18" s="9" t="inlineStr">
        <is>
          <t>90-day executable pilots</t>
        </is>
      </c>
      <c r="B18" s="12">
        <f>ROUND(B17*0.25,0)</f>
        <v/>
      </c>
      <c r="C18" s="9" t="inlineStr">
        <is>
          <t>pilots</t>
        </is>
      </c>
      <c r="D18" s="9" t="inlineStr">
        <is>
          <t>quarterly capacity</t>
        </is>
      </c>
    </row>
    <row r="19">
      <c r="A19" s="9" t="inlineStr">
        <is>
          <t>90-day variable delivery cost</t>
        </is>
      </c>
      <c r="B19" s="12">
        <f>B18*B14</f>
        <v/>
      </c>
      <c r="C19" s="9" t="inlineStr">
        <is>
          <t>RMB</t>
        </is>
      </c>
      <c r="D19" s="9" t="inlineStr">
        <is>
          <t>calculated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Pilot Pricing &amp; Annual Revenue/Gross Margin Model</t>
        </is>
      </c>
    </row>
    <row r="3">
      <c r="A3" s="8" t="inlineStr">
        <is>
          <t>Item</t>
        </is>
      </c>
      <c r="B3" s="8" t="inlineStr">
        <is>
          <t>Q1 (Pilot)</t>
        </is>
      </c>
      <c r="C3" s="8" t="inlineStr">
        <is>
          <t>Q2 (Expand)</t>
        </is>
      </c>
      <c r="D3" s="8" t="inlineStr">
        <is>
          <t>Q3-Q4 (Annual)</t>
        </is>
      </c>
      <c r="E3" s="8" t="inlineStr">
        <is>
          <t>Full Year</t>
        </is>
      </c>
      <c r="F3" s="8" t="inlineStr">
        <is>
          <t>Assumptions</t>
        </is>
      </c>
    </row>
    <row r="4">
      <c r="A4" s="9" t="inlineStr">
        <is>
          <t>Paid pilots</t>
        </is>
      </c>
      <c r="B4" s="13" t="n">
        <v>3</v>
      </c>
      <c r="C4" s="13" t="n">
        <v>4</v>
      </c>
      <c r="D4" s="13" t="n">
        <v>6</v>
      </c>
      <c r="E4" s="13" t="n">
        <v>13</v>
      </c>
      <c r="F4" s="9" t="inlineStr">
        <is>
          <t>Q1=target 3; Q2 expand; Q3-4 annualized</t>
        </is>
      </c>
    </row>
    <row r="5">
      <c r="A5" s="9" t="inlineStr">
        <is>
          <t>Revenue per pilot</t>
        </is>
      </c>
      <c r="B5" s="14" t="n">
        <v>350000</v>
      </c>
      <c r="C5" s="14" t="n">
        <v>400000</v>
      </c>
      <c r="D5" s="14" t="n">
        <v>500000</v>
      </c>
      <c r="E5" s="15" t="n"/>
      <c r="F5" s="9" t="inlineStr">
        <is>
          <t>Pilot 350K; annualized 500K</t>
        </is>
      </c>
    </row>
    <row r="6">
      <c r="A6" s="9" t="inlineStr">
        <is>
          <t>Pilot revenue subtotal</t>
        </is>
      </c>
      <c r="B6" s="12">
        <f>B4*B5</f>
        <v/>
      </c>
      <c r="C6" s="12">
        <f>C4*C5</f>
        <v/>
      </c>
      <c r="D6" s="12">
        <f>D4*D5</f>
        <v/>
      </c>
      <c r="E6" s="12">
        <f>SUM(B6:D6)</f>
        <v/>
      </c>
      <c r="F6" s="9" t="inlineStr">
        <is>
          <t>calculated</t>
        </is>
      </c>
    </row>
    <row r="7">
      <c r="A7" s="9" t="inlineStr">
        <is>
          <t>Annual subscription/platform fee</t>
        </is>
      </c>
      <c r="B7" s="16" t="n">
        <v>0</v>
      </c>
      <c r="C7" s="17" t="n">
        <v>200000</v>
      </c>
      <c r="D7" s="17" t="n">
        <v>600000</v>
      </c>
      <c r="E7" s="17" t="n">
        <v>800000</v>
      </c>
      <c r="F7" s="9" t="inlineStr">
        <is>
          <t>Q2 platform fee; 100K/mo x clients</t>
        </is>
      </c>
    </row>
    <row r="8">
      <c r="A8" s="9" t="inlineStr">
        <is>
          <t>Total revenue</t>
        </is>
      </c>
      <c r="B8" s="12">
        <f>B6+B7</f>
        <v/>
      </c>
      <c r="C8" s="12">
        <f>C6+C7</f>
        <v/>
      </c>
      <c r="D8" s="12">
        <f>D6+D7</f>
        <v/>
      </c>
      <c r="E8" s="12">
        <f>B8+C8+D8</f>
        <v/>
      </c>
      <c r="F8" s="9" t="inlineStr">
        <is>
          <t>calculated</t>
        </is>
      </c>
    </row>
    <row r="9">
      <c r="A9" s="9" t="inlineStr">
        <is>
          <t>FDE variable cost</t>
        </is>
      </c>
      <c r="B9" s="17" t="n">
        <v>-600000</v>
      </c>
      <c r="C9" s="17" t="n">
        <v>-480000</v>
      </c>
      <c r="D9" s="17" t="n">
        <v>-720000</v>
      </c>
      <c r="E9" s="9" t="n"/>
      <c r="F9" s="9" t="inlineStr">
        <is>
          <t>2FDE x 45d x pilots allocation</t>
        </is>
      </c>
    </row>
    <row r="10">
      <c r="A10" s="9" t="inlineStr">
        <is>
          <t>Model/tooling variable cost</t>
        </is>
      </c>
      <c r="B10" s="17" t="n">
        <v>-360000</v>
      </c>
      <c r="C10" s="17" t="n">
        <v>-480000</v>
      </c>
      <c r="D10" s="17" t="n">
        <v>-720000</v>
      </c>
      <c r="E10" s="9" t="n"/>
      <c r="F10" s="9" t="inlineStr">
        <is>
          <t>120K per pilot</t>
        </is>
      </c>
    </row>
    <row r="11">
      <c r="A11" s="9" t="inlineStr">
        <is>
          <t>Travel/integration variable cost</t>
        </is>
      </c>
      <c r="B11" s="17" t="n">
        <v>-240000</v>
      </c>
      <c r="C11" s="17" t="n">
        <v>-320000</v>
      </c>
      <c r="D11" s="17" t="n">
        <v>-480000</v>
      </c>
      <c r="E11" s="9" t="n"/>
      <c r="F11" s="9" t="inlineStr">
        <is>
          <t>80K per pilot</t>
        </is>
      </c>
    </row>
    <row r="12">
      <c r="A12" s="9" t="inlineStr">
        <is>
          <t>Fixed personnel cost (allocated)</t>
        </is>
      </c>
      <c r="B12" s="17" t="n">
        <v>-2970000</v>
      </c>
      <c r="C12" s="17" t="n">
        <v>-2970000</v>
      </c>
      <c r="D12" s="17" t="n">
        <v>-5940000</v>
      </c>
      <c r="E12" s="9" t="n"/>
      <c r="F12" s="9" t="inlineStr">
        <is>
          <t>11.88M/year</t>
        </is>
      </c>
    </row>
    <row r="13">
      <c r="A13" s="9" t="inlineStr">
        <is>
          <t>Total cost</t>
        </is>
      </c>
      <c r="B13" s="12">
        <f>SUM(B9:B12)</f>
        <v/>
      </c>
      <c r="C13" s="12">
        <f>SUM(C9:C12)</f>
        <v/>
      </c>
      <c r="D13" s="12">
        <f>SUM(D9:D12)</f>
        <v/>
      </c>
      <c r="E13" s="12">
        <f>SUM(B13:D13)</f>
        <v/>
      </c>
      <c r="F13" s="9" t="inlineStr">
        <is>
          <t>calculated</t>
        </is>
      </c>
    </row>
    <row r="14">
      <c r="A14" s="9" t="inlineStr">
        <is>
          <t>Gross profit</t>
        </is>
      </c>
      <c r="B14" s="12">
        <f>B8+B13</f>
        <v/>
      </c>
      <c r="C14" s="12">
        <f>C8+C13</f>
        <v/>
      </c>
      <c r="D14" s="12">
        <f>D8+D13</f>
        <v/>
      </c>
      <c r="E14" s="12">
        <f>B14+C14+D14</f>
        <v/>
      </c>
      <c r="F14" s="9" t="inlineStr">
        <is>
          <t>revenue + cost(neg)</t>
        </is>
      </c>
    </row>
    <row r="15">
      <c r="A15" s="9" t="inlineStr">
        <is>
          <t>Gross margin</t>
        </is>
      </c>
      <c r="B15" s="18">
        <f>IF(B8&lt;&gt;0,B14/B8,0)</f>
        <v/>
      </c>
      <c r="C15" s="18">
        <f>IF(C8&lt;&gt;0,C14/C8,0)</f>
        <v/>
      </c>
      <c r="D15" s="18">
        <f>IF(D8&lt;&gt;0,D14/D8,0)</f>
        <v/>
      </c>
      <c r="E15" s="18">
        <f>IF(E8&lt;&gt;0,E14/E8,0)</f>
        <v/>
      </c>
      <c r="F15" s="9" t="inlineStr">
        <is>
          <t>profit/revenue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2026-08-25T15:42:56Z</dcterms:created>
  <dcterms:modified xmlns:dcterms="http://purl.org/dc/terms/" xmlns:xsi="http://www.w3.org/2001/XMLSchema-instance" xsi:type="dcterms:W3CDTF">2026-08-25T15:42:56Z</dcterms:modified>
</cp:coreProperties>
</file>